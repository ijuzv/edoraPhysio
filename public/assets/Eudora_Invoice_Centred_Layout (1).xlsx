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d170d8982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c3fa2a6f335f4c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"/>
    <x:numFmt numFmtId="202" formatCode="₹#,##0.00"/>
  </x:numFmts>
  <x:fonts count="12">
    <x:font>
      <x:sz val="11"/>
      <x:name val="Carlito"/>
    </x:font>
    <x:font>
      <x:sz val="10"/>
      <x:color rgb="FF183D3B"/>
      <x:name val="Aptos"/>
    </x:font>
    <x:font>
      <x:b/>
      <x:sz val="15"/>
      <x:color rgb="FF0E5E5C"/>
      <x:name val="Aptos Display"/>
    </x:font>
    <x:font>
      <x:b/>
      <x:sz val="9"/>
      <x:color rgb="FF637371"/>
      <x:name val="Aptos"/>
    </x:font>
    <x:font>
      <x:b/>
      <x:sz val="9"/>
      <x:color rgb="FF0E5E5C"/>
      <x:name val="Aptos"/>
    </x:font>
    <x:font>
      <x:b/>
      <x:sz val="10"/>
      <x:color rgb="FFFFFFFF"/>
      <x:name val="Aptos"/>
    </x:font>
    <x:font>
      <x:b/>
      <x:sz val="11"/>
      <x:color rgb="FF0E5E5C"/>
      <x:name val="Aptos"/>
    </x:font>
    <x:font>
      <x:sz val="10"/>
      <x:color rgb="FF637371"/>
      <x:name val="Aptos"/>
    </x:font>
    <x:font>
      <x:b/>
      <x:sz val="9"/>
      <x:color rgb="FFFFFFFF"/>
      <x:name val="Aptos"/>
    </x:font>
    <x:font>
      <x:b/>
      <x:sz val="10"/>
      <x:color rgb="FF0E5E5C"/>
      <x:name val="Aptos"/>
    </x:font>
    <x:font>
      <x:b/>
      <x:sz val="10"/>
      <x:color rgb="FF183D3B"/>
      <x:name val="Aptos"/>
    </x:font>
    <x:font>
      <x:i/>
      <x:sz val="9"/>
      <x:color rgb="FF63737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E5E5C"/>
      </x:patternFill>
    </x:fill>
    <x:fill>
      <x:patternFill patternType="solid">
        <x:fgColor rgb="FF183D3B"/>
      </x:patternFill>
    </x:fill>
    <x:fill>
      <x:patternFill patternType="solid">
        <x:fgColor rgb="FFEDF3F0"/>
      </x:patternFill>
    </x:fill>
  </x:fills>
  <x:borders count="8">
    <x:border/>
    <x:border>
      <x:bottom style="thin">
        <x:color rgb="FFC9D5D1"/>
      </x:bottom>
    </x:border>
    <x:border>
      <x:left style="thin">
        <x:color rgb="FF0E5E5C"/>
      </x:left>
      <x:top style="thin">
        <x:color rgb="FF0E5E5C"/>
      </x:top>
      <x:bottom style="thin">
        <x:color rgb="FF0E5E5C"/>
      </x:bottom>
    </x:border>
    <x:border>
      <x:top style="thin">
        <x:color rgb="FF0E5E5C"/>
      </x:top>
      <x:bottom style="thin">
        <x:color rgb="FF0E5E5C"/>
      </x:bottom>
    </x:border>
    <x:border>
      <x:right style="thin">
        <x:color rgb="FF0E5E5C"/>
      </x:right>
      <x:top style="thin">
        <x:color rgb="FF0E5E5C"/>
      </x:top>
      <x:bottom style="thin">
        <x:color rgb="FF0E5E5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medium">
        <x:color rgb="FF0E5E5C"/>
      </x:bottom>
    </x:border>
    <x:border>
      <x:bottom style="thin">
        <x:color rgb="FF637371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8" fillId="4" borderId="5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2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6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right" vertical="center"/>
    </x:xf>
    <x:xf numFmtId="202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horizontal="right" vertical="center"/>
    </x:xf>
    <x:xf numFmtId="202" fontId="5" fillId="3" borderId="1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065e3b72f84873" /><Relationship Type="http://schemas.openxmlformats.org/officeDocument/2006/relationships/theme" Target="/xl/theme/theme1.xml" Id="Rf847e390752f492a" /><Relationship Type="http://schemas.openxmlformats.org/officeDocument/2006/relationships/sharedStrings" Target="/xl/sharedStrings.xml" Id="R702927063703429a" /><Relationship Type="http://schemas.openxmlformats.org/officeDocument/2006/relationships/worksheet" Target="/xl/worksheets/sheet1.xml" Id="Rc3fa2a6f335f4c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8e614b686204b75" /></Relationships>
</file>

<file path=xl/drawings/drawing1.xml><?xml version="1.0" encoding="utf-8"?>
<xdr:wsDr xmlns:xdr="http://schemas.openxmlformats.org/drawingml/2006/spreadsheetDrawing">
  <xdr:oneCellAnchor>
    <xdr:from>
      <xdr:col>2</xdr:col>
      <xdr:colOff>381000</xdr:colOff>
      <xdr:row>0</xdr:row>
      <xdr:rowOff>19050</xdr:rowOff>
    </xdr:from>
    <xdr:ext cx="1571625" cy="1047750"/>
    <xdr:pic>
      <xdr:nvPicPr>
        <xdr:cNvPr id="1" name="1aea1bdf-4329-45f0-a91b-8afa09fe0f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e614b686204b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42dd7e01874151" /></Relationships>
</file>

<file path=xl/worksheets/sheet1.xml><?xml version="1.0" encoding="utf-8"?>
<x:worksheet xmlns:x="http://schemas.openxmlformats.org/spreadsheetml/2006/main">
  <x:sheetPr>
    <x:tabColor rgb="FF0E5E5C"/>
  </x:sheetPr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8" hidden="0" customWidth="1"/>
    <x:col min="4" max="4" width="8" hidden="0" customWidth="1"/>
    <x:col min="5" max="5" width="12" hidden="0" customWidth="1"/>
    <x:col min="6" max="6" width="6" hidden="0" customWidth="1"/>
    <x:col min="7" max="7" width="10" hidden="0" customWidth="1"/>
    <x:col min="8" max="8" width="12" hidden="0" customWidth="1"/>
  </x:cols>
  <x:sheetData>
    <x:row r="1" ht="9" customHeight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3"/>
      <x:c r="B2" s="3"/>
      <x:c r="C2" s="3"/>
      <x:c r="D2" s="3"/>
      <x:c r="E2" s="3"/>
      <x:c r="F2" s="3"/>
      <x:c r="G2" s="3"/>
      <x:c r="H2" s="3"/>
    </x:row>
    <x:row r="3" ht="30" customHeight="1">
      <x:c r="A3" s="3"/>
      <x:c r="B3" s="3"/>
      <x:c r="C3" s="3"/>
      <x:c r="D3" s="3"/>
      <x:c r="E3" s="3"/>
      <x:c r="F3" s="3"/>
      <x:c r="G3" s="3"/>
      <x:c r="H3" s="3"/>
    </x:row>
    <x:row r="4" ht="30" customHeight="1">
      <x:c r="A4" s="3"/>
      <x:c r="B4" s="3"/>
      <x:c r="C4" s="3"/>
      <x:c r="D4" s="3"/>
      <x:c r="E4" s="3"/>
      <x:c r="F4" s="3"/>
      <x:c r="G4" s="3"/>
      <x:c r="H4" s="3"/>
    </x:row>
    <x:row r="5" ht="25" customHeight="1">
      <x:c r="A5" s="5" t="str">
        <x:v>INVOICE</x:v>
      </x:c>
      <x:c r="B5" s="5"/>
      <x:c r="C5" s="5"/>
      <x:c r="D5" s="5"/>
      <x:c r="E5" s="5"/>
      <x:c r="F5" s="5"/>
      <x:c r="G5" s="5"/>
      <x:c r="H5" s="5"/>
    </x:row>
    <x:row r="6" ht="23" customHeight="1">
      <x:c r="A6" s="7" t="str">
        <x:v>Invoice number</x:v>
      </x:c>
      <x:c r="B6" s="7"/>
      <x:c r="C6" s="9" t="str">
        <x:v>EMH-0001</x:v>
      </x:c>
      <x:c r="D6" s="9"/>
      <x:c r="E6" s="7" t="str">
        <x:v>Invoice date</x:v>
      </x:c>
      <x:c r="F6" s="7"/>
      <x:c r="G6" s="11" t="n">
        <x:v>46280.80186375</x:v>
      </x:c>
      <x:c r="H6" s="11"/>
    </x:row>
    <x:row r="7" ht="23" customHeight="1">
      <x:c r="A7" s="7" t="str">
        <x:v>Due date</x:v>
      </x:c>
      <x:c r="B7" s="7"/>
      <x:c r="C7" s="12"/>
      <x:c r="D7" s="12"/>
      <x:c r="E7" s="7" t="str">
        <x:v>Payment status</x:v>
      </x:c>
      <x:c r="F7" s="7"/>
      <x:c r="G7" s="13" t="str">
        <x:f>IF(H23="","",IF(H25&lt;=0,"PAID",IF(H24&gt;0,"PARTIALLY PAID","PAYMENT DUE")))</x:f>
      </x:c>
      <x:c r="H7" s="13"/>
    </x:row>
    <x:row r="8" ht="22" customHeight="1">
      <x:c r="A8" s="16" t="str">
        <x:v>FROM</x:v>
      </x:c>
      <x:c r="B8" s="17"/>
      <x:c r="C8" s="17"/>
      <x:c r="D8" s="18"/>
      <x:c r="E8" s="16" t="str">
        <x:v>BILL TO</x:v>
      </x:c>
      <x:c r="F8" s="17"/>
      <x:c r="G8" s="17"/>
      <x:c r="H8" s="18"/>
    </x:row>
    <x:row r="9" ht="23" customHeight="1">
      <x:c r="A9" s="19" t="str">
        <x:v>Eudora Movement House</x:v>
      </x:c>
      <x:c r="B9" s="19"/>
      <x:c r="C9" s="19"/>
      <x:c r="D9" s="19"/>
      <x:c r="E9" s="20" t="str">
        <x:v>Client / Patient name</x:v>
      </x:c>
      <x:c r="F9" s="20"/>
      <x:c r="G9" s="20"/>
      <x:c r="H9" s="20"/>
    </x:row>
    <x:row r="10" ht="23" customHeight="1">
      <x:c r="A10" s="3" t="str">
        <x:v>Varshini Balamurugan, MPT</x:v>
      </x:c>
      <x:c r="B10" s="3"/>
      <x:c r="C10" s="3"/>
      <x:c r="D10" s="3"/>
      <x:c r="E10" s="20" t="str">
        <x:v>Phone number</x:v>
      </x:c>
      <x:c r="F10" s="20"/>
      <x:c r="G10" s="20"/>
      <x:c r="H10" s="20"/>
    </x:row>
    <x:row r="11" ht="23" customHeight="1">
      <x:c r="A11" s="3" t="str">
        <x:v>connect@eudoraphysio.com  |  Bengaluru</x:v>
      </x:c>
      <x:c r="B11" s="3"/>
      <x:c r="C11" s="3"/>
      <x:c r="D11" s="3"/>
      <x:c r="E11" s="21" t="str">
        <x:v>Location</x:v>
      </x:c>
      <x:c r="F11" s="21"/>
      <x:c r="G11" s="21"/>
      <x:c r="H11" s="21"/>
    </x:row>
    <x:row r="12" ht="11" customHeight="1">
      <x:c r="A12" s="3"/>
      <x:c r="B12" s="3"/>
      <x:c r="C12" s="3"/>
      <x:c r="D12" s="3"/>
      <x:c r="E12" s="3"/>
      <x:c r="F12" s="3"/>
      <x:c r="G12" s="3"/>
      <x:c r="H12" s="3"/>
    </x:row>
    <x:row r="13" ht="26" customHeight="1">
      <x:c r="A13" s="25" t="str">
        <x:v>SERVICE DESCRIPTION</x:v>
      </x:c>
      <x:c r="B13" s="25"/>
      <x:c r="C13" s="25"/>
      <x:c r="D13" s="25"/>
      <x:c r="E13" s="25" t="str">
        <x:v>SERVICE DATE</x:v>
      </x:c>
      <x:c r="F13" s="25" t="str">
        <x:v>QTY</x:v>
      </x:c>
      <x:c r="G13" s="25" t="str">
        <x:v>RATE</x:v>
      </x:c>
      <x:c r="H13" s="25" t="str">
        <x:v>AMOUNT</x:v>
      </x:c>
    </x:row>
    <x:row r="14" ht="25" customHeight="1">
      <x:c r="A14" s="31"/>
      <x:c r="B14" s="31"/>
      <x:c r="C14" s="31"/>
      <x:c r="D14" s="31"/>
      <x:c r="E14" s="12"/>
      <x:c r="F14" s="29"/>
      <x:c r="G14" s="30"/>
      <x:c r="H14" s="30" t="str">
        <x:f>IF(OR(F14="",G14=""),"",F14*G14)</x:f>
      </x:c>
    </x:row>
    <x:row r="15" ht="25" customHeight="1">
      <x:c r="A15" s="31"/>
      <x:c r="B15" s="31"/>
      <x:c r="C15" s="31"/>
      <x:c r="D15" s="31"/>
      <x:c r="E15" s="12"/>
      <x:c r="F15" s="29"/>
      <x:c r="G15" s="30"/>
      <x:c r="H15" s="30" t="str">
        <x:f>IF(OR(F15="",G15=""),"",F15*G15)</x:f>
      </x:c>
    </x:row>
    <x:row r="16" ht="25" customHeight="1">
      <x:c r="A16" s="31"/>
      <x:c r="B16" s="31"/>
      <x:c r="C16" s="31"/>
      <x:c r="D16" s="31"/>
      <x:c r="E16" s="12"/>
      <x:c r="F16" s="29"/>
      <x:c r="G16" s="30"/>
      <x:c r="H16" s="30" t="str">
        <x:f>IF(OR(F16="",G16=""),"",F16*G16)</x:f>
      </x:c>
    </x:row>
    <x:row r="17" ht="25" customHeight="1">
      <x:c r="A17" s="31"/>
      <x:c r="B17" s="31"/>
      <x:c r="C17" s="31"/>
      <x:c r="D17" s="31"/>
      <x:c r="E17" s="12"/>
      <x:c r="F17" s="29"/>
      <x:c r="G17" s="30"/>
      <x:c r="H17" s="30" t="str">
        <x:f>IF(OR(F17="",G17=""),"",F17*G17)</x:f>
      </x:c>
    </x:row>
    <x:row r="18" ht="25" customHeight="1">
      <x:c r="A18" s="31"/>
      <x:c r="B18" s="31"/>
      <x:c r="C18" s="31"/>
      <x:c r="D18" s="31"/>
      <x:c r="E18" s="12"/>
      <x:c r="F18" s="29"/>
      <x:c r="G18" s="30"/>
      <x:c r="H18" s="30" t="str">
        <x:f>IF(OR(F18="",G18=""),"",F18*G18)</x:f>
      </x:c>
    </x:row>
    <x:row r="19" ht="25" customHeight="1">
      <x:c r="A19" s="31"/>
      <x:c r="B19" s="31"/>
      <x:c r="C19" s="31"/>
      <x:c r="D19" s="31"/>
      <x:c r="E19" s="12"/>
      <x:c r="F19" s="29"/>
      <x:c r="G19" s="30"/>
      <x:c r="H19" s="30" t="str">
        <x:f>IF(OR(F19="",G19=""),"",F19*G19)</x:f>
      </x:c>
    </x:row>
    <x:row r="20" ht="11" customHeight="1">
      <x:c r="A20" s="3"/>
      <x:c r="B20" s="3"/>
      <x:c r="C20" s="3"/>
      <x:c r="D20" s="3"/>
      <x:c r="E20" s="3"/>
      <x:c r="F20" s="3"/>
      <x:c r="G20" s="3"/>
      <x:c r="H20" s="3"/>
    </x:row>
    <x:row r="21" ht="24" customHeight="1">
      <x:c r="A21" s="33" t="str">
        <x:v>PAYMENT DETAILS</x:v>
      </x:c>
      <x:c r="B21" s="33"/>
      <x:c r="C21" s="33"/>
      <x:c r="D21" s="33"/>
      <x:c r="E21" s="3"/>
      <x:c r="F21" s="35" t="str">
        <x:v>Subtotal</x:v>
      </x:c>
      <x:c r="G21" s="35"/>
      <x:c r="H21" s="36" t="str">
        <x:f>IF(COUNT(H14:H19)=0,"",SUM(H14:H19))</x:f>
      </x:c>
    </x:row>
    <x:row r="22" ht="24" customHeight="1">
      <x:c r="A22" s="6" t="str">
        <x:v>Payment method</x:v>
      </x:c>
      <x:c r="B22" s="6"/>
      <x:c r="C22" s="3"/>
      <x:c r="D22" s="3"/>
      <x:c r="E22" s="3"/>
      <x:c r="F22" s="35" t="str">
        <x:v>Discount</x:v>
      </x:c>
      <x:c r="G22" s="35"/>
      <x:c r="H22" s="36"/>
    </x:row>
    <x:row r="23" ht="24" customHeight="1">
      <x:c r="A23" s="6" t="str">
        <x:v>Payment date</x:v>
      </x:c>
      <x:c r="B23" s="6"/>
      <x:c r="C23" s="26"/>
      <x:c r="D23" s="26"/>
      <x:c r="E23" s="3"/>
      <x:c r="F23" s="37" t="str">
        <x:v>Total</x:v>
      </x:c>
      <x:c r="G23" s="37"/>
      <x:c r="H23" s="38" t="str">
        <x:f>IF(H21="","",H21-IF(H22="",0,H22))</x:f>
      </x:c>
    </x:row>
    <x:row r="24" ht="24" customHeight="1">
      <x:c r="A24" s="6"/>
      <x:c r="B24" s="6"/>
      <x:c r="C24" s="3"/>
      <x:c r="D24" s="3"/>
      <x:c r="E24" s="3"/>
      <x:c r="F24" s="35" t="str">
        <x:v>Amount paid</x:v>
      </x:c>
      <x:c r="G24" s="35"/>
      <x:c r="H24" s="36"/>
    </x:row>
    <x:row r="25" ht="24" customHeight="1">
      <x:c r="A25" s="3"/>
      <x:c r="B25" s="3"/>
      <x:c r="C25" s="3"/>
      <x:c r="D25" s="3"/>
      <x:c r="E25" s="3"/>
      <x:c r="F25" s="43" t="str">
        <x:v>Balance due</x:v>
      </x:c>
      <x:c r="G25" s="43"/>
      <x:c r="H25" s="44" t="str">
        <x:f>IF(H23="","",MAX(H23-IF(H24="",0,H24),0))</x:f>
      </x:c>
    </x:row>
    <x:row r="26" ht="11" customHeight="1">
      <x:c r="A26" s="3"/>
      <x:c r="B26" s="3"/>
      <x:c r="C26" s="3"/>
      <x:c r="D26" s="3"/>
      <x:c r="E26" s="3"/>
      <x:c r="F26" s="3"/>
      <x:c r="G26" s="3"/>
      <x:c r="H26" s="3"/>
    </x:row>
    <x:row r="27" ht="24" customHeight="1">
      <x:c r="A27" s="32" t="str">
        <x:v>NOTES</x:v>
      </x:c>
      <x:c r="B27" s="32"/>
      <x:c r="C27" s="32"/>
      <x:c r="D27" s="32"/>
      <x:c r="E27" s="3"/>
      <x:c r="F27" s="49" t="str">
        <x:v>AUTHORISED SIGNATURE</x:v>
      </x:c>
      <x:c r="G27" s="49"/>
      <x:c r="H27" s="49"/>
    </x:row>
    <x:row r="28" ht="24" customHeight="1">
      <x:c r="A28" s="47" t="str">
        <x:v>Thank you for choosing Eudora Movement House. Please retain this invoice for your records.</x:v>
      </x:c>
      <x:c r="B28" s="47"/>
      <x:c r="C28" s="47"/>
      <x:c r="D28" s="47"/>
      <x:c r="E28" s="3"/>
      <x:c r="F28" s="3"/>
      <x:c r="G28" s="3"/>
      <x:c r="H28" s="3"/>
    </x:row>
    <x:row r="29" ht="24" customHeight="1">
      <x:c r="A29" s="47"/>
      <x:c r="B29" s="47"/>
      <x:c r="C29" s="47"/>
      <x:c r="D29" s="47"/>
      <x:c r="E29" s="3"/>
      <x:c r="F29" s="50"/>
      <x:c r="G29" s="50"/>
      <x:c r="H29" s="50"/>
    </x:row>
    <x:row r="30" ht="10" customHeight="1">
      <x:c r="A30" s="3"/>
      <x:c r="B30" s="3"/>
      <x:c r="C30" s="3"/>
      <x:c r="D30" s="3"/>
      <x:c r="E30" s="3"/>
      <x:c r="F30" s="3"/>
      <x:c r="G30" s="3"/>
      <x:c r="H30" s="3"/>
    </x:row>
    <x:row r="31" ht="24" customHeight="1">
      <x:c r="A31" s="52" t="str">
        <x:v>EUDORA MOVEMENT HOUSE   •   THE LIGHT AFTER RECOVERY</x:v>
      </x:c>
      <x:c r="B31" s="52"/>
      <x:c r="C31" s="52"/>
      <x:c r="D31" s="52"/>
      <x:c r="E31" s="52"/>
      <x:c r="F31" s="52"/>
      <x:c r="G31" s="52"/>
      <x:c r="H31" s="52"/>
    </x:row>
  </x:sheetData>
  <x:mergeCells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D8"/>
    <x:mergeCell ref="E8:H8"/>
    <x:mergeCell ref="A9:D9"/>
    <x:mergeCell ref="A10:D10"/>
    <x:mergeCell ref="A11:D11"/>
    <x:mergeCell ref="E9:H9"/>
    <x:mergeCell ref="E10:H10"/>
    <x:mergeCell ref="E11:H11"/>
    <x:mergeCell ref="A13:D13"/>
    <x:mergeCell ref="A14:D14"/>
    <x:mergeCell ref="A15:D15"/>
    <x:mergeCell ref="A16:D16"/>
    <x:mergeCell ref="A17:D17"/>
    <x:mergeCell ref="A18:D18"/>
    <x:mergeCell ref="A19:D19"/>
    <x:mergeCell ref="A21:D21"/>
    <x:mergeCell ref="A22:B22"/>
    <x:mergeCell ref="C22:D22"/>
    <x:mergeCell ref="A23:B23"/>
    <x:mergeCell ref="C23:D23"/>
    <x:mergeCell ref="A24:B24"/>
    <x:mergeCell ref="C24:D24"/>
    <x:mergeCell ref="F21:G21"/>
    <x:mergeCell ref="F22:G22"/>
    <x:mergeCell ref="F23:G23"/>
    <x:mergeCell ref="F24:G24"/>
    <x:mergeCell ref="F25:G25"/>
    <x:mergeCell ref="A27:D27"/>
    <x:mergeCell ref="A28:D29"/>
    <x:mergeCell ref="F27:H27"/>
    <x:mergeCell ref="F28:H29"/>
    <x:mergeCell ref="A31:H31"/>
  </x:mergeCells>
  <x:dataValidations count="5">
    <x:dataValidation type="list" sqref="C22:D22">
      <x:formula1>"Cash,UPI,Bank transfer,Card,Other"</x:formula1>
    </x:dataValidation>
    <x:dataValidation type="whole" operator="between" sqref="F14:F19">
      <x:formula1>1</x:formula1>
      <x:formula2>100</x:formula2>
    </x:dataValidation>
    <x:dataValidation type="decimal" operator="between" sqref="G14:G19">
      <x:formula1>0</x:formula1>
      <x:formula2>1000000</x:formula2>
    </x:dataValidation>
    <x:dataValidation type="decimal" operator="between" sqref="H22">
      <x:formula1>0</x:formula1>
      <x:formula2>1000000</x:formula2>
    </x:dataValidation>
    <x:dataValidation type="decimal" operator="between" sqref="H24">
      <x:formula1>0</x:formula1>
      <x:formula2>1000000</x:formula2>
    </x:dataValidation>
  </x:dataValidations>
  <x:pageMargins left="0.7" right="0.7" top="0.75" bottom="0.75" header="0.3" footer="0.3"/>
  <x:drawing xmlns:r="http://schemas.openxmlformats.org/officeDocument/2006/relationships" r:id="R6c42dd7e01874151"/>
</x:worksheet>
</file>